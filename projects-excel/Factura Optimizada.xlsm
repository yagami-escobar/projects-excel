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/>
  <bookViews>
    <workbookView xWindow="930" yWindow="0" windowWidth="21600" windowHeight="10125" tabRatio="803" firstSheet="1" activeTab="1"/>
  </bookViews>
  <sheets>
    <sheet name="Temas" sheetId="5" r:id="rId1"/>
    <sheet name="Factura simple" sheetId="1" r:id="rId2"/>
    <sheet name="Detalle de Facturas" sheetId="2" r:id="rId3"/>
    <sheet name="Clientes" sheetId="3" r:id="rId4"/>
    <sheet name="Productos" sheetId="4" r:id="rId5"/>
  </sheets>
  <definedNames>
    <definedName name="ColumnTitleRegion1..B11.1">'Factura simple'!$B$6</definedName>
    <definedName name="Nombre_empresa">'Factura simple'!$B$1</definedName>
    <definedName name="TítuloColumna1">Factura[[#Headers],[DESCRIPCIÓN]]</definedName>
    <definedName name="TítuloFilaRegión1..D5">'Factura simple'!$C$3</definedName>
    <definedName name="_xlnm.Print_Titles" localSheetId="1">'Factura simple'!$12:$12</definedName>
  </definedNames>
  <calcPr calcId="162913"/>
</workbook>
</file>

<file path=xl/calcChain.xml><?xml version="1.0" encoding="utf-8"?>
<calcChain xmlns="http://schemas.openxmlformats.org/spreadsheetml/2006/main">
  <c r="E13" i="1" l="1"/>
  <c r="E14" i="1"/>
  <c r="E15" i="1"/>
  <c r="E16" i="1"/>
  <c r="E17" i="1"/>
  <c r="E18" i="1"/>
  <c r="E19" i="1"/>
  <c r="E20" i="1"/>
  <c r="E21" i="1"/>
  <c r="E22" i="1"/>
  <c r="E23" i="1"/>
  <c r="C13" i="1"/>
  <c r="C14" i="1"/>
  <c r="C15" i="1"/>
  <c r="C16" i="1"/>
  <c r="C17" i="1"/>
  <c r="C18" i="1"/>
  <c r="C19" i="1"/>
  <c r="C20" i="1"/>
  <c r="C21" i="1"/>
  <c r="C22" i="1"/>
  <c r="C23" i="1"/>
  <c r="B11" i="1"/>
  <c r="B10" i="1"/>
  <c r="B9" i="1"/>
  <c r="B8" i="1"/>
  <c r="D3" i="1"/>
  <c r="B25" i="1" l="1"/>
  <c r="E24" i="1" l="1"/>
</calcChain>
</file>

<file path=xl/sharedStrings.xml><?xml version="1.0" encoding="utf-8"?>
<sst xmlns="http://schemas.openxmlformats.org/spreadsheetml/2006/main" count="163" uniqueCount="162">
  <si>
    <t>Facturar a:</t>
  </si>
  <si>
    <t>DESCRIPCIÓN</t>
  </si>
  <si>
    <t xml:space="preserve">GRACIAS POR SU CONFIANZA </t>
  </si>
  <si>
    <t>FACTURA</t>
  </si>
  <si>
    <t>FECHA:</t>
  </si>
  <si>
    <t>N.º DE FACTURA</t>
  </si>
  <si>
    <t>PARA:</t>
  </si>
  <si>
    <t>Descripción del proyecto o servicio</t>
  </si>
  <si>
    <t>IMPORTE</t>
  </si>
  <si>
    <t>Si tiene cualquier tipo de pregunta acerca de esta factura, póngase en contacto con Nombre, Número de teléfono o Correo electrónico</t>
  </si>
  <si>
    <t>Yagami-Store</t>
  </si>
  <si>
    <t>Llevando calidad a los clientes.</t>
  </si>
  <si>
    <t>Av.Javier Prado Este 123</t>
  </si>
  <si>
    <t>Lima, Lima y 01</t>
  </si>
  <si>
    <t xml:space="preserve">[01-256 1256] </t>
  </si>
  <si>
    <t>CODIGO</t>
  </si>
  <si>
    <t>CANTIDAD</t>
  </si>
  <si>
    <t>NOMBRE</t>
  </si>
  <si>
    <t>NOMBRE DE LA EMPRESA</t>
  </si>
  <si>
    <t>DIRECCION</t>
  </si>
  <si>
    <t>CIUDAD, ESTADO</t>
  </si>
  <si>
    <t>TELEFONO</t>
  </si>
  <si>
    <t>Cliente 1</t>
  </si>
  <si>
    <t>Empresa 1</t>
  </si>
  <si>
    <t>Direccion 1</t>
  </si>
  <si>
    <t>Ciudad 1</t>
  </si>
  <si>
    <t>Telefono 1</t>
  </si>
  <si>
    <t>Cliente 2</t>
  </si>
  <si>
    <t>Empresa 2</t>
  </si>
  <si>
    <t>Direccion 2</t>
  </si>
  <si>
    <t>Ciudad 2</t>
  </si>
  <si>
    <t>Telefono 2</t>
  </si>
  <si>
    <t>Cliente 3</t>
  </si>
  <si>
    <t>Empresa 3</t>
  </si>
  <si>
    <t>Direccion 3</t>
  </si>
  <si>
    <t>Ciudad 3</t>
  </si>
  <si>
    <t>Telefono 3</t>
  </si>
  <si>
    <t>Cliente 4</t>
  </si>
  <si>
    <t>Empresa 4</t>
  </si>
  <si>
    <t>Direccion 4</t>
  </si>
  <si>
    <t>Ciudad 4</t>
  </si>
  <si>
    <t>Telefono 4</t>
  </si>
  <si>
    <t>Cliente 5</t>
  </si>
  <si>
    <t>Empresa 5</t>
  </si>
  <si>
    <t>Direccion 5</t>
  </si>
  <si>
    <t>Ciudad 5</t>
  </si>
  <si>
    <t>Telefono 5</t>
  </si>
  <si>
    <t>Cliente 6</t>
  </si>
  <si>
    <t>Empresa 6</t>
  </si>
  <si>
    <t>Direccion 6</t>
  </si>
  <si>
    <t>Ciudad 6</t>
  </si>
  <si>
    <t>Telefono 6</t>
  </si>
  <si>
    <t>Cliente 7</t>
  </si>
  <si>
    <t>Empresa 7</t>
  </si>
  <si>
    <t>Direccion 7</t>
  </si>
  <si>
    <t>Ciudad 7</t>
  </si>
  <si>
    <t>Telefono 7</t>
  </si>
  <si>
    <t>Cliente 8</t>
  </si>
  <si>
    <t>Empresa 8</t>
  </si>
  <si>
    <t>Direccion 8</t>
  </si>
  <si>
    <t>Ciudad 8</t>
  </si>
  <si>
    <t>Telefono 8</t>
  </si>
  <si>
    <t>Cliente 9</t>
  </si>
  <si>
    <t>Empresa 9</t>
  </si>
  <si>
    <t>Direccion 9</t>
  </si>
  <si>
    <t>Ciudad 9</t>
  </si>
  <si>
    <t>Telefono 9</t>
  </si>
  <si>
    <t>Cliente 10</t>
  </si>
  <si>
    <t>Empresa 10</t>
  </si>
  <si>
    <t>Direccion 10</t>
  </si>
  <si>
    <t>Ciudad 10</t>
  </si>
  <si>
    <t>Telefono 10</t>
  </si>
  <si>
    <t>Cliente 11</t>
  </si>
  <si>
    <t>Empresa 11</t>
  </si>
  <si>
    <t>Direccion 11</t>
  </si>
  <si>
    <t>Ciudad 11</t>
  </si>
  <si>
    <t>Telefono 11</t>
  </si>
  <si>
    <t>Cliente 12</t>
  </si>
  <si>
    <t>Empresa 12</t>
  </si>
  <si>
    <t>Direccion 12</t>
  </si>
  <si>
    <t>Ciudad 12</t>
  </si>
  <si>
    <t>Telefono 12</t>
  </si>
  <si>
    <t>Cliente 13</t>
  </si>
  <si>
    <t>Empresa 13</t>
  </si>
  <si>
    <t>Direccion 13</t>
  </si>
  <si>
    <t>Ciudad 13</t>
  </si>
  <si>
    <t>Telefono 13</t>
  </si>
  <si>
    <t>Cliente 14</t>
  </si>
  <si>
    <t>Empresa 14</t>
  </si>
  <si>
    <t>Direccion 14</t>
  </si>
  <si>
    <t>Ciudad 14</t>
  </si>
  <si>
    <t>Telefono 14</t>
  </si>
  <si>
    <t>Cliente 15</t>
  </si>
  <si>
    <t>Empresa 15</t>
  </si>
  <si>
    <t>Direccion 15</t>
  </si>
  <si>
    <t>Ciudad 15</t>
  </si>
  <si>
    <t>Telefono 15</t>
  </si>
  <si>
    <t>Cliente 16</t>
  </si>
  <si>
    <t>Empresa 16</t>
  </si>
  <si>
    <t>Direccion 16</t>
  </si>
  <si>
    <t>Ciudad 16</t>
  </si>
  <si>
    <t>Telefono 16</t>
  </si>
  <si>
    <t>Cliente 17</t>
  </si>
  <si>
    <t>Empresa 17</t>
  </si>
  <si>
    <t>Direccion 17</t>
  </si>
  <si>
    <t>Ciudad 17</t>
  </si>
  <si>
    <t>Telefono 17</t>
  </si>
  <si>
    <t>Cliente 18</t>
  </si>
  <si>
    <t>Empresa 18</t>
  </si>
  <si>
    <t>Direccion 18</t>
  </si>
  <si>
    <t>Ciudad 18</t>
  </si>
  <si>
    <t>Telefono 18</t>
  </si>
  <si>
    <t>Cliente 19</t>
  </si>
  <si>
    <t>Empresa 19</t>
  </si>
  <si>
    <t>Direccion 19</t>
  </si>
  <si>
    <t>Ciudad 19</t>
  </si>
  <si>
    <t>Telefono 19</t>
  </si>
  <si>
    <t>Cliente 20</t>
  </si>
  <si>
    <t>Empresa 20</t>
  </si>
  <si>
    <t>Direccion 20</t>
  </si>
  <si>
    <t>Ciudad 20</t>
  </si>
  <si>
    <t>Telefono 20</t>
  </si>
  <si>
    <t>Cliente 21</t>
  </si>
  <si>
    <t>Empresa 21</t>
  </si>
  <si>
    <t>Direccion 21</t>
  </si>
  <si>
    <t>Ciudad 21</t>
  </si>
  <si>
    <t>Telefono 21</t>
  </si>
  <si>
    <t>Cliente 22</t>
  </si>
  <si>
    <t>Empresa 22</t>
  </si>
  <si>
    <t>Direccion 22</t>
  </si>
  <si>
    <t>Ciudad 22</t>
  </si>
  <si>
    <t>Telefono 22</t>
  </si>
  <si>
    <t>Cliente 23</t>
  </si>
  <si>
    <t>Empresa 23</t>
  </si>
  <si>
    <t>Direccion 23</t>
  </si>
  <si>
    <t>Ciudad 23</t>
  </si>
  <si>
    <t>Telefono 23</t>
  </si>
  <si>
    <t>Cliente 24</t>
  </si>
  <si>
    <t>Empresa 24</t>
  </si>
  <si>
    <t>Direccion 24</t>
  </si>
  <si>
    <t>Ciudad 24</t>
  </si>
  <si>
    <t>Telefono 24</t>
  </si>
  <si>
    <t>DESCRIPCION</t>
  </si>
  <si>
    <t>P. 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</si>
  <si>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</si>
  <si>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</si>
  <si>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</si>
  <si>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</si>
  <si>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</si>
  <si>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</si>
  <si>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</si>
  <si>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</si>
  <si>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</si>
  <si>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</si>
  <si>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</si>
  <si>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</si>
  <si>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</si>
  <si>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SI.ERROR</t>
  </si>
  <si>
    <t>BUSCARV</t>
  </si>
  <si>
    <t>ALEATORIO.ENTRE</t>
  </si>
  <si>
    <t>INDIRECTO</t>
  </si>
  <si>
    <t>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</si>
</sst>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[$-409]mmmm\ d\,\ yyyy;@"/>
    <numFmt numFmtId="166" formatCode="[&lt;=9999999]###\-####;\(###\)\ ###\-####"/>
    <numFmt numFmtId="167" formatCode="[$-C0A]d\ &quot;de&quot;\ mmmm\ &quot;de&quot;\ yyyy;@"/>
    <numFmt numFmtId="168" formatCode="_-* #,##0.00\ [$€-C0A]_-;\-* #,##0.00\ [$€-C0A]_-;_-* &quot;-&quot;??\ [$€-C0A]_-;_-@_-"/>
  </numFmts>
  <fonts count="11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sz val="1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5">
    <xf numFmtId="0" fontId="0" fillId="0" borderId="0">
      <alignment wrapText="1"/>
    </xf>
    <xf numFmtId="165" fontId="3" fillId="0" borderId="0" applyFont="0" applyFill="0" applyBorder="0">
      <alignment horizontal="right"/>
    </xf>
    <xf numFmtId="164" fontId="3" fillId="0" borderId="0" applyFont="0" applyFill="0" applyBorder="0" applyProtection="0">
      <alignment horizontal="right" vertical="center"/>
    </xf>
    <xf numFmtId="0" fontId="2" fillId="0" borderId="0" applyNumberFormat="0" applyFill="0" applyBorder="0" applyProtection="0">
      <alignment horizontal="right"/>
    </xf>
    <xf numFmtId="0" fontId="6" fillId="0" borderId="0" applyNumberFormat="0" applyFill="0" applyProtection="0"/>
    <xf numFmtId="0" fontId="7" fillId="0" borderId="0" applyNumberFormat="0" applyFill="0" applyProtection="0">
      <alignment vertical="top" wrapText="1"/>
    </xf>
    <xf numFmtId="0" fontId="9" fillId="0" borderId="0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Protection="0">
      <alignment horizontal="center"/>
    </xf>
    <xf numFmtId="164" fontId="5" fillId="0" borderId="0" applyProtection="0">
      <alignment horizontal="right" vertical="center"/>
    </xf>
    <xf numFmtId="0" fontId="3" fillId="0" borderId="0" applyNumberFormat="0" applyFont="0" applyFill="0" applyBorder="0">
      <alignment horizontal="right" wrapText="1"/>
    </xf>
    <xf numFmtId="166" fontId="3" fillId="0" borderId="0" applyFont="0" applyFill="0" applyBorder="0">
      <alignment horizontal="left" vertical="top"/>
    </xf>
    <xf numFmtId="0" fontId="3" fillId="0" borderId="0" applyFont="0" applyFill="0" applyBorder="0">
      <alignment horizontal="right" vertical="top" wrapText="1"/>
    </xf>
    <xf numFmtId="0" fontId="3" fillId="0" borderId="0" applyFont="0" applyFill="0" applyBorder="0">
      <alignment vertical="center" wrapText="1"/>
    </xf>
    <xf numFmtId="0" fontId="10" fillId="3" borderId="2" applyNumberFormat="0" applyAlignment="0" applyProtection="0"/>
  </cellStyleXfs>
  <cellXfs count="26">
    <xf numFmtId="0" fontId="0" fillId="0" borderId="0" xfId="0">
      <alignment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>
      <alignment wrapText="1"/>
    </xf>
    <xf numFmtId="0" fontId="7" fillId="0" borderId="0" xfId="5">
      <alignment vertical="top" wrapText="1"/>
    </xf>
    <xf numFmtId="0" fontId="6" fillId="0" borderId="0" xfId="4"/>
    <xf numFmtId="0" fontId="9" fillId="0" borderId="0" xfId="6"/>
    <xf numFmtId="0" fontId="0" fillId="0" borderId="0" xfId="10" applyFont="1">
      <alignment horizontal="right" wrapText="1"/>
    </xf>
    <xf numFmtId="166" fontId="0" fillId="0" borderId="0" xfId="11" applyFont="1">
      <alignment horizontal="left" vertical="top"/>
    </xf>
    <xf numFmtId="0" fontId="4" fillId="0" borderId="0" xfId="0" applyFont="1">
      <alignment wrapText="1"/>
    </xf>
    <xf numFmtId="0" fontId="0" fillId="0" borderId="0" xfId="13" applyFont="1">
      <alignment vertical="center" wrapText="1"/>
    </xf>
    <xf numFmtId="0" fontId="9" fillId="0" borderId="0" xfId="12" applyFont="1">
      <alignment horizontal="right" vertical="top" wrapText="1"/>
    </xf>
    <xf numFmtId="0" fontId="9" fillId="0" borderId="0" xfId="10" applyFont="1">
      <alignment horizontal="right" wrapText="1"/>
    </xf>
    <xf numFmtId="0" fontId="8" fillId="0" borderId="0" xfId="12" applyFont="1">
      <alignment horizontal="right" vertical="top" wrapText="1"/>
    </xf>
    <xf numFmtId="167" fontId="0" fillId="0" borderId="0" xfId="10" applyNumberFormat="1" applyFont="1">
      <alignment horizontal="right" wrapText="1"/>
    </xf>
    <xf numFmtId="168" fontId="0" fillId="0" borderId="0" xfId="2" applyNumberFormat="1" applyFont="1">
      <alignment horizontal="right" vertical="center"/>
    </xf>
    <xf numFmtId="168" fontId="1" fillId="2" borderId="1" xfId="2" applyNumberFormat="1" applyFont="1" applyFill="1" applyBorder="1">
      <alignment horizontal="right" vertical="center"/>
    </xf>
    <xf numFmtId="0" fontId="0" fillId="0" borderId="0" xfId="0">
      <alignment wrapText="1"/>
    </xf>
    <xf numFmtId="0" fontId="2" fillId="0" borderId="0" xfId="3">
      <alignment horizontal="right"/>
    </xf>
    <xf numFmtId="0" fontId="0" fillId="0" borderId="0" xfId="0">
      <alignment wrapText="1"/>
    </xf>
    <xf numFmtId="0" fontId="9" fillId="0" borderId="0" xfId="8">
      <alignment horizontal="center"/>
    </xf>
    <xf numFmtId="0" fontId="0" fillId="0" borderId="4" xfId="13" applyFont="1" applyBorder="1">
      <alignment vertical="center" wrapText="1"/>
    </xf>
    <xf numFmtId="0" fontId="0" fillId="0" borderId="5" xfId="13" applyFont="1" applyBorder="1">
      <alignment vertical="center" wrapText="1"/>
    </xf>
    <xf numFmtId="0" fontId="0" fillId="0" borderId="6" xfId="13" applyFont="1" applyBorder="1">
      <alignment vertical="center" wrapText="1"/>
    </xf>
    <xf numFmtId="0" fontId="0" fillId="0" borderId="7" xfId="13" applyFont="1" applyBorder="1">
      <alignment vertical="center" wrapText="1"/>
    </xf>
    <xf numFmtId="0" fontId="0" fillId="0" borderId="8" xfId="13" applyFont="1" applyBorder="1">
      <alignment vertical="center" wrapText="1"/>
    </xf>
    <xf numFmtId="0" fontId="0" fillId="0" borderId="3" xfId="0" applyFont="1" applyFill="1" applyBorder="1" applyAlignment="1">
      <alignment horizontal="center" vertical="center"/>
    </xf>
  </cellXfs>
  <cellStyles count="15">
    <cellStyle name="Alineado a la derecha" xfId="10"/>
    <cellStyle name="Alineado arriba" xfId="12"/>
    <cellStyle name="Descripción" xfId="13"/>
    <cellStyle name="Encabezado 1" xfId="4" builtinId="16" customBuiltin="1"/>
    <cellStyle name="Encabezado 4" xfId="7" builtinId="19" customBuiltin="1"/>
    <cellStyle name="Entrada" xfId="14" builtinId="20" customBuiltin="1"/>
    <cellStyle name="Fecha" xfId="1"/>
    <cellStyle name="Moneda" xfId="2" builtinId="4" customBuiltin="1"/>
    <cellStyle name="Normal" xfId="0" builtinId="0" customBuiltin="1"/>
    <cellStyle name="Teléfono" xfId="1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8" formatCode="_-* #,##0.00\ [$€-C0A]_-;\-* #,##0.00\ [$€-C0A]_-;_-* &quot;-&quot;??\ [$€-C0A]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_-* #,##0.00\ [$€-C0A]_-;\-* #,##0.00\ [$€-C0A]_-;_-* &quot;-&quot;??\ [$€-C0A]_-;_-@_-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Factura que calcula el total" defaultPivotStyle="PivotStyleLight16">
    <tableStyle name="Factura que calcula el total" pivot="0" count="7">
      <tableStyleElement type="wholeTable" dxfId="11"/>
      <tableStyleElement type="headerRow" dxfId="10"/>
      <tableStyleElement type="totalRow" dxfId="9"/>
      <tableStyleElement type="lastColumn" dxfId="8"/>
      <tableStyleElement type="secondColumnStripe" dxfId="7"/>
      <tableStyleElement type="lastHeaderCell" dxfId="6"/>
      <tableStyleElement type="lastTotalCell" dxfId="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Factura" displayName="Factura" ref="B12:E24" totalsRowCount="1">
  <autoFilter ref="B12:E23">
    <filterColumn colId="1" hiddenButton="1"/>
    <filterColumn colId="3" hiddenButton="1"/>
  </autoFilter>
  <tableColumns count="4">
    <tableColumn id="4" name="CODIGO" dataDxfId="3" dataCellStyle="Descripción"/>
    <tableColumn id="1" name="DESCRIPCIÓN" dataDxfId="2">
      <calculatedColumnFormula>IFERROR(VLOOKUP(Factura[[#This Row],[CODIGO]],tblProductos[#All],2,0), "")</calculatedColumnFormula>
    </tableColumn>
    <tableColumn id="5" name="CANTIDAD" dataDxfId="4" dataCellStyle="Descripción"/>
    <tableColumn id="3" name="IMPORTE" totalsRowFunction="sum" dataDxfId="1" totalsRowDxfId="0" dataCellStyle="Moneda">
      <calculatedColumnFormula>IFERROR(D13*VLOOKUP(Factura[[#This Row],[CODIGO]],tblProductos[#All],3,0), " 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id="2" name="tblClientes" displayName="tblClientes" ref="A1:E25" totalsRowShown="0">
  <autoFilter ref="A1:E25"/>
  <tableColumns count="5">
    <tableColumn id="1" name="NOMBRE"/>
    <tableColumn id="2" name="NOMBRE DE LA EMPRESA"/>
    <tableColumn id="3" name="DIRECCION"/>
    <tableColumn id="4" name="CIUDAD, ESTADO"/>
    <tableColumn id="5" name="TELEFONO"/>
  </tableColumns>
  <tableStyleInfo name="Factura que calcula el total" showFirstColumn="0" showLastColumn="0" showRowStripes="1" showColumnStripes="0"/>
</table>
</file>

<file path=xl/tables/table3.xml><?xml version="1.0" encoding="utf-8"?>
<table xmlns="http://schemas.openxmlformats.org/spreadsheetml/2006/main" id="3" name="tblProductos" displayName="tblProductos" ref="A1:C14" totalsRowShown="0">
  <autoFilter ref="A1:C14"/>
  <tableColumns count="3">
    <tableColumn id="1" name="CODIGO"/>
    <tableColumn id="2" name="DESCRIPCION"/>
    <tableColumn id="3" name="P. UNITARIO"/>
  </tableColumns>
  <tableStyleInfo name="Factura que calcula el total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C10"/>
  <sheetViews>
    <sheetView workbookViewId="0">
      <selection activeCell="C13" sqref="C13"/>
    </sheetView>
  </sheetViews>
  <sheetFormatPr baseColWidth="10" defaultRowHeight="14.25" x14ac:dyDescent="0.2"/>
  <cols>
    <col min="3" max="3" width="23" customWidth="1"/>
  </cols>
  <sheetData>
    <row r="6" spans="3:3" x14ac:dyDescent="0.2">
      <c r="C6" t="s">
        <v>161</v>
      </c>
    </row>
    <row r="7" spans="3:3" x14ac:dyDescent="0.2">
      <c r="C7" t="s">
        <v>160</v>
      </c>
    </row>
    <row r="8" spans="3:3" ht="28.5" x14ac:dyDescent="0.2">
      <c r="C8" t="s">
        <v>159</v>
      </c>
    </row>
    <row r="9" spans="3:3" x14ac:dyDescent="0.2">
      <c r="C9" t="s">
        <v>158</v>
      </c>
    </row>
    <row r="10" spans="3:3" x14ac:dyDescent="0.2">
      <c r="C10" t="s">
        <v>157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  <pageSetUpPr fitToPage="1"/>
  </sheetPr>
  <dimension ref="B1:E27"/>
  <sheetViews>
    <sheetView showGridLines="0" tabSelected="1" topLeftCell="A15" zoomScaleNormal="100" workbookViewId="0">
      <selection activeCell="D16" sqref="D16"/>
    </sheetView>
  </sheetViews>
  <sheetFormatPr baseColWidth="10" defaultColWidth="9" defaultRowHeight="30" customHeight="1" x14ac:dyDescent="0.2"/>
  <cols>
    <col min="1" max="1" width="2.625" customWidth="1"/>
    <col min="2" max="2" width="21.375" customWidth="1"/>
    <col min="3" max="3" width="44.5" customWidth="1"/>
    <col min="4" max="4" width="23" customWidth="1"/>
    <col min="5" max="5" width="41" customWidth="1"/>
    <col min="6" max="6" width="17.25" customWidth="1"/>
  </cols>
  <sheetData>
    <row r="1" spans="2:5" ht="34.5" customHeight="1" x14ac:dyDescent="0.45">
      <c r="B1" s="4" t="s">
        <v>10</v>
      </c>
      <c r="C1" s="17" t="s">
        <v>3</v>
      </c>
      <c r="D1" s="17"/>
    </row>
    <row r="2" spans="2:5" ht="30" customHeight="1" x14ac:dyDescent="0.2">
      <c r="B2" s="3" t="s">
        <v>11</v>
      </c>
    </row>
    <row r="3" spans="2:5" ht="30" customHeight="1" x14ac:dyDescent="0.25">
      <c r="B3" t="s">
        <v>12</v>
      </c>
      <c r="C3" s="11" t="s">
        <v>4</v>
      </c>
      <c r="D3" s="13">
        <f ca="1">TODAY()</f>
        <v>43817</v>
      </c>
    </row>
    <row r="4" spans="2:5" ht="15" customHeight="1" x14ac:dyDescent="0.25">
      <c r="B4" t="s">
        <v>13</v>
      </c>
      <c r="C4" s="11" t="s">
        <v>5</v>
      </c>
      <c r="D4" s="6">
        <v>1</v>
      </c>
    </row>
    <row r="5" spans="2:5" ht="30" customHeight="1" x14ac:dyDescent="0.2">
      <c r="B5" s="7" t="s">
        <v>14</v>
      </c>
      <c r="C5" s="10" t="s">
        <v>6</v>
      </c>
      <c r="D5" s="12" t="s">
        <v>7</v>
      </c>
    </row>
    <row r="6" spans="2:5" ht="30" customHeight="1" x14ac:dyDescent="0.25">
      <c r="B6" s="5" t="s">
        <v>0</v>
      </c>
    </row>
    <row r="7" spans="2:5" ht="15" customHeight="1" x14ac:dyDescent="0.2">
      <c r="B7" s="2"/>
    </row>
    <row r="8" spans="2:5" ht="15" customHeight="1" x14ac:dyDescent="0.2">
      <c r="B8" s="2" t="str">
        <f>IFERROR(VLOOKUP(B7,tblClientes[#All],2,0),"-")</f>
        <v>-</v>
      </c>
    </row>
    <row r="9" spans="2:5" ht="15" customHeight="1" x14ac:dyDescent="0.2">
      <c r="B9" s="2" t="str">
        <f>IFERROR(VLOOKUP(B7,tblClientes[#All],3,0),"-")</f>
        <v>-</v>
      </c>
    </row>
    <row r="10" spans="2:5" ht="15" customHeight="1" x14ac:dyDescent="0.2">
      <c r="B10" s="2" t="str">
        <f>IFERROR(VLOOKUP(B7,tblClientes[#All],4,0),"-")</f>
        <v>-</v>
      </c>
    </row>
    <row r="11" spans="2:5" ht="30" customHeight="1" x14ac:dyDescent="0.2">
      <c r="B11" s="7" t="str">
        <f>IFERROR(VLOOKUP(B7,tblClientes[#All],5,0),"-")</f>
        <v>-</v>
      </c>
    </row>
    <row r="12" spans="2:5" ht="30" customHeight="1" x14ac:dyDescent="0.2">
      <c r="B12" s="1" t="s">
        <v>15</v>
      </c>
      <c r="C12" s="25" t="s">
        <v>1</v>
      </c>
      <c r="D12" s="1" t="s">
        <v>16</v>
      </c>
      <c r="E12" s="1" t="s">
        <v>8</v>
      </c>
    </row>
    <row r="13" spans="2:5" ht="30" customHeight="1" x14ac:dyDescent="0.2">
      <c r="B13" s="22">
        <v>1013</v>
      </c>
      <c r="C13" s="20" t="str">
        <f>IFERROR(VLOOKUP(Factura[[#This Row],[CODIGO]],tblProductos[#All],2,0), "")</f>
        <v>Producto 13</v>
      </c>
      <c r="D13" s="9">
        <v>10</v>
      </c>
      <c r="E13" s="14">
        <f>IFERROR(D13*VLOOKUP(Factura[[#This Row],[CODIGO]],tblProductos[#All],3,0), " ")</f>
        <v>3610</v>
      </c>
    </row>
    <row r="14" spans="2:5" ht="30" customHeight="1" x14ac:dyDescent="0.2">
      <c r="B14" s="23">
        <v>1005</v>
      </c>
      <c r="C14" s="20" t="str">
        <f>IFERROR(VLOOKUP(Factura[[#This Row],[CODIGO]],tblProductos[#All],2,0), "")</f>
        <v>Producto 5</v>
      </c>
      <c r="D14" s="9">
        <v>5</v>
      </c>
      <c r="E14" s="14">
        <f>IFERROR(D14*VLOOKUP(Factura[[#This Row],[CODIGO]],tblProductos[#All],3,0), " ")</f>
        <v>845</v>
      </c>
    </row>
    <row r="15" spans="2:5" ht="30" customHeight="1" x14ac:dyDescent="0.2">
      <c r="B15" s="23">
        <v>1005</v>
      </c>
      <c r="C15" s="20" t="str">
        <f>IFERROR(VLOOKUP(Factura[[#This Row],[CODIGO]],tblProductos[#All],2,0), "")</f>
        <v>Producto 5</v>
      </c>
      <c r="D15" s="9">
        <v>2</v>
      </c>
      <c r="E15" s="14">
        <f>IFERROR(D15*VLOOKUP(Factura[[#This Row],[CODIGO]],tblProductos[#All],3,0), " ")</f>
        <v>338</v>
      </c>
    </row>
    <row r="16" spans="2:5" ht="30" customHeight="1" x14ac:dyDescent="0.2">
      <c r="B16" s="23">
        <v>1006</v>
      </c>
      <c r="C16" s="20" t="str">
        <f>IFERROR(VLOOKUP(Factura[[#This Row],[CODIGO]],tblProductos[#All],2,0), "")</f>
        <v>Producto 6</v>
      </c>
      <c r="D16" s="9"/>
      <c r="E16" s="14">
        <f>IFERROR(D16*VLOOKUP(Factura[[#This Row],[CODIGO]],tblProductos[#All],3,0), " ")</f>
        <v>0</v>
      </c>
    </row>
    <row r="17" spans="2:5" ht="30" customHeight="1" x14ac:dyDescent="0.2">
      <c r="B17" s="23"/>
      <c r="C17" s="20" t="str">
        <f>IFERROR(VLOOKUP(Factura[[#This Row],[CODIGO]],tblProductos[#All],2,0), "")</f>
        <v/>
      </c>
      <c r="D17" s="9"/>
      <c r="E17" s="14" t="str">
        <f>IFERROR(D17*VLOOKUP(Factura[[#This Row],[CODIGO]],tblProductos[#All],3,0), " ")</f>
        <v xml:space="preserve"> </v>
      </c>
    </row>
    <row r="18" spans="2:5" ht="30" customHeight="1" x14ac:dyDescent="0.2">
      <c r="B18" s="23"/>
      <c r="C18" s="20" t="str">
        <f>IFERROR(VLOOKUP(Factura[[#This Row],[CODIGO]],tblProductos[#All],2,0), "")</f>
        <v/>
      </c>
      <c r="D18" s="9"/>
      <c r="E18" s="14" t="str">
        <f>IFERROR(D18*VLOOKUP(Factura[[#This Row],[CODIGO]],tblProductos[#All],3,0), " ")</f>
        <v xml:space="preserve"> </v>
      </c>
    </row>
    <row r="19" spans="2:5" ht="30" customHeight="1" x14ac:dyDescent="0.2">
      <c r="B19" s="23"/>
      <c r="C19" s="20" t="str">
        <f>IFERROR(VLOOKUP(Factura[[#This Row],[CODIGO]],tblProductos[#All],2,0), "")</f>
        <v/>
      </c>
      <c r="D19" s="9"/>
      <c r="E19" s="14" t="str">
        <f>IFERROR(D19*VLOOKUP(Factura[[#This Row],[CODIGO]],tblProductos[#All],3,0), " ")</f>
        <v xml:space="preserve"> </v>
      </c>
    </row>
    <row r="20" spans="2:5" ht="30" customHeight="1" x14ac:dyDescent="0.2">
      <c r="B20" s="23"/>
      <c r="C20" s="20" t="str">
        <f>IFERROR(VLOOKUP(Factura[[#This Row],[CODIGO]],tblProductos[#All],2,0), "")</f>
        <v/>
      </c>
      <c r="D20" s="9"/>
      <c r="E20" s="14" t="str">
        <f>IFERROR(D20*VLOOKUP(Factura[[#This Row],[CODIGO]],tblProductos[#All],3,0), " ")</f>
        <v xml:space="preserve"> </v>
      </c>
    </row>
    <row r="21" spans="2:5" ht="30" customHeight="1" x14ac:dyDescent="0.2">
      <c r="B21" s="23"/>
      <c r="C21" s="20" t="str">
        <f>IFERROR(VLOOKUP(Factura[[#This Row],[CODIGO]],tblProductos[#All],2,0), "")</f>
        <v/>
      </c>
      <c r="D21" s="9"/>
      <c r="E21" s="14" t="str">
        <f>IFERROR(D21*VLOOKUP(Factura[[#This Row],[CODIGO]],tblProductos[#All],3,0), " ")</f>
        <v xml:space="preserve"> </v>
      </c>
    </row>
    <row r="22" spans="2:5" ht="30" customHeight="1" x14ac:dyDescent="0.2">
      <c r="B22" s="23"/>
      <c r="C22" s="20" t="str">
        <f>IFERROR(VLOOKUP(Factura[[#This Row],[CODIGO]],tblProductos[#All],2,0), "")</f>
        <v/>
      </c>
      <c r="D22" s="9"/>
      <c r="E22" s="14" t="str">
        <f>IFERROR(D22*VLOOKUP(Factura[[#This Row],[CODIGO]],tblProductos[#All],3,0), " ")</f>
        <v xml:space="preserve"> </v>
      </c>
    </row>
    <row r="23" spans="2:5" ht="30" customHeight="1" x14ac:dyDescent="0.2">
      <c r="B23" s="24"/>
      <c r="C23" s="21" t="str">
        <f>IFERROR(VLOOKUP(Factura[[#This Row],[CODIGO]],tblProductos[#All],2,0), "")</f>
        <v/>
      </c>
      <c r="D23" s="9"/>
      <c r="E23" s="14" t="str">
        <f>IFERROR(D23*VLOOKUP(Factura[[#This Row],[CODIGO]],tblProductos[#All],3,0), " ")</f>
        <v xml:space="preserve"> </v>
      </c>
    </row>
    <row r="24" spans="2:5" ht="30" customHeight="1" x14ac:dyDescent="0.2">
      <c r="B24" s="16"/>
      <c r="E24" s="15">
        <f>SUBTOTAL(109,Factura[IMPORTE])</f>
        <v>4793</v>
      </c>
    </row>
    <row r="25" spans="2:5" ht="30" customHeight="1" x14ac:dyDescent="0.2">
      <c r="B25" t="str">
        <f>"Establezca que todos los cheques se paguen a "&amp;Nombre_empresa&amp;""</f>
        <v>Establezca que todos los cheques se paguen a Yagami-Store</v>
      </c>
      <c r="C25" s="8"/>
      <c r="D25" s="8"/>
    </row>
    <row r="26" spans="2:5" ht="30" customHeight="1" x14ac:dyDescent="0.2">
      <c r="B26" s="18" t="s">
        <v>9</v>
      </c>
      <c r="C26" s="18"/>
      <c r="D26" s="18"/>
    </row>
    <row r="27" spans="2:5" ht="30" customHeight="1" x14ac:dyDescent="0.25">
      <c r="B27" s="19" t="s">
        <v>2</v>
      </c>
      <c r="C27" s="19"/>
      <c r="D27" s="19"/>
    </row>
  </sheetData>
  <mergeCells count="3">
    <mergeCell ref="C1:D1"/>
    <mergeCell ref="B26:D26"/>
    <mergeCell ref="B27:D27"/>
  </mergeCells>
  <phoneticPr fontId="0" type="noConversion"/>
  <dataValidations count="25">
    <dataValidation allowBlank="1" showInputMessage="1" showErrorMessage="1" prompt="El nombre de la empresa se anexa automáticamente en esta celda." sqref="B25"/>
    <dataValidation allowBlank="1" showInputMessage="1" showErrorMessage="1" prompt="Escriba en esta celda el nombre de contacto, número de teléfono y correo electrónico de la empresa que factura." sqref="B26:D26"/>
    <dataValidation allowBlank="1" showInputMessage="1" showErrorMessage="1" prompt="Escriba el importe en la columna con este encabezado para cada descripción de la columna B. La última celda de la tabla contiene el importe adeudado." sqref="E12"/>
    <dataValidation allowBlank="1" showInputMessage="1" showErrorMessage="1" prompt="Escriba la descripción de la factura en la columna con este encabezado." sqref="B12:C12"/>
    <dataValidation type="list" allowBlank="1" showInputMessage="1" showErrorMessage="1" prompt="Escriba el nombre del cliente en esta celda." sqref="B7">
      <formula1>INDIRECT("tblClientes[NOMBRE]")</formula1>
    </dataValidation>
    <dataValidation allowBlank="1" showInputMessage="1" showErrorMessage="1" prompt="Escriba el nombre de la empresa en esta celda." sqref="B8"/>
    <dataValidation allowBlank="1" showInputMessage="1" showErrorMessage="1" prompt="Escriba la dirección del cliente en esta celda." sqref="B9"/>
    <dataValidation allowBlank="1" showInputMessage="1" showErrorMessage="1" prompt="Escriba la ciudad, el estado y el código postal del cliente en esta celda." sqref="B10"/>
    <dataValidation allowBlank="1" showInputMessage="1" showErrorMessage="1" prompt="Escriba el número de teléfono del cliente en esta celda." sqref="B11"/>
    <dataValidation allowBlank="1" showInputMessage="1" showErrorMessage="1" prompt="Escriba el nombre del cliente, el nombre de la empresa, la dirección y el número de teléfono en las celdas siguientes." sqref="B6"/>
    <dataValidation allowBlank="1" showInputMessage="1" showErrorMessage="1" prompt="Escriba en esta celda los números de teléfono y fax entre corchetes." sqref="B5"/>
    <dataValidation allowBlank="1" showInputMessage="1" showErrorMessage="1" prompt="Escriba la ciudad, el estado o la provincia y el código postal en esta celda." sqref="B4"/>
    <dataValidation allowBlank="1" showInputMessage="1" showErrorMessage="1" prompt="Escriba la dirección de la empresa que factura en esta celda." sqref="B3"/>
    <dataValidation allowBlank="1" showInputMessage="1" showErrorMessage="1" prompt="Escriba el lema de la empresa en esta celda y la dirección de la empresa en las celdas siguientes." sqref="B2"/>
    <dataValidation allowBlank="1" showInputMessage="1" showErrorMessage="1" prompt="Escriba la descripción del producto de la factura en esta celda." sqref="D5"/>
    <dataValidation allowBlank="1" showInputMessage="1" showErrorMessage="1" prompt="Escriba la descripción del producto de la factura en la celda de la derecha." sqref="C5"/>
    <dataValidation allowBlank="1" showInputMessage="1" showErrorMessage="1" prompt="Escriba el número de factura en la celda de la derecha." sqref="C4"/>
    <dataValidation allowBlank="1" showInputMessage="1" showErrorMessage="1" prompt="Escriba el número de factura en esta celda." sqref="D4"/>
    <dataValidation allowBlank="1" showInputMessage="1" showErrorMessage="1" prompt="Escriba la fecha de la factura en la celda de la derecha." sqref="C3"/>
    <dataValidation allowBlank="1" showInputMessage="1" showErrorMessage="1" prompt="Escriba la fecha de la factura en esta celda." sqref="D3"/>
    <dataValidation allowBlank="1" showInputMessage="1" showErrorMessage="1" prompt="Escriba el nombre de la empresa que factura en esta celda y el lema en la celda siguiente." sqref="B1"/>
    <dataValidation allowBlank="1" showInputMessage="1" showErrorMessage="1" prompt="Cree una factura que calcule el total en esta hoja de cálculo. Escriba los detalles de la empresa y del cliente, y las descripciones y los importes en la tabla de Factura. El total adeudado se calcula automáticamente." sqref="A1"/>
    <dataValidation allowBlank="1" showInputMessage="1" showErrorMessage="1" prompt="El título de esta hoja de cálculo se encuentra en esta celda. Escriba los detalles de la factura en las celdas C3 a D5." sqref="C1:D1"/>
    <dataValidation allowBlank="1" showInputMessage="1" showErrorMessage="1" prompt="Escriba el campo personalizado en este encabezado y los datos correspondientes en la columna con este encabezado." sqref="D12"/>
    <dataValidation type="list" allowBlank="1" showInputMessage="1" showErrorMessage="1" sqref="B13:B23">
      <formula1>INDIRECT("tblProductos[codigo]")</formula1>
    </dataValidation>
  </dataValidations>
  <printOptions horizontalCentered="1"/>
  <pageMargins left="0.5" right="0.5" top="0.5" bottom="0.5" header="0.5" footer="0.5"/>
  <pageSetup scale="93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opLeftCell="A11" workbookViewId="0">
      <selection sqref="A1:E25"/>
    </sheetView>
  </sheetViews>
  <sheetFormatPr baseColWidth="10" defaultRowHeight="14.25" x14ac:dyDescent="0.2"/>
  <cols>
    <col min="1" max="1" width="11.25" customWidth="1"/>
    <col min="2" max="2" width="26.75" customWidth="1"/>
    <col min="3" max="3" width="13.375" customWidth="1"/>
    <col min="4" max="4" width="18.625" customWidth="1"/>
    <col min="5" max="5" width="13.125" customWidth="1"/>
  </cols>
  <sheetData>
    <row r="1" spans="1:5" ht="42.75" x14ac:dyDescent="0.2">
      <c r="A1" t="s">
        <v>17</v>
      </c>
      <c r="B1" t="s">
        <v>18</v>
      </c>
      <c r="C1" t="s">
        <v>19</v>
      </c>
      <c r="D1" t="s">
        <v>20</v>
      </c>
      <c r="E1" t="s">
        <v>21</v>
      </c>
    </row>
    <row r="2" spans="1:5" x14ac:dyDescent="0.2">
      <c r="A2" t="s">
        <v>22</v>
      </c>
      <c r="B2" t="s">
        <v>23</v>
      </c>
      <c r="C2" t="s">
        <v>24</v>
      </c>
      <c r="D2" t="s">
        <v>25</v>
      </c>
      <c r="E2" t="s">
        <v>26</v>
      </c>
    </row>
    <row r="3" spans="1:5" x14ac:dyDescent="0.2">
      <c r="A3" s="16" t="s">
        <v>27</v>
      </c>
      <c r="B3" s="16" t="s">
        <v>28</v>
      </c>
      <c r="C3" s="16" t="s">
        <v>29</v>
      </c>
      <c r="D3" s="16" t="s">
        <v>30</v>
      </c>
      <c r="E3" s="16" t="s">
        <v>31</v>
      </c>
    </row>
    <row r="4" spans="1:5" x14ac:dyDescent="0.2">
      <c r="A4" s="16" t="s">
        <v>32</v>
      </c>
      <c r="B4" s="16" t="s">
        <v>33</v>
      </c>
      <c r="C4" s="16" t="s">
        <v>34</v>
      </c>
      <c r="D4" s="16" t="s">
        <v>35</v>
      </c>
      <c r="E4" s="16" t="s">
        <v>36</v>
      </c>
    </row>
    <row r="5" spans="1:5" x14ac:dyDescent="0.2">
      <c r="A5" s="16" t="s">
        <v>37</v>
      </c>
      <c r="B5" s="16" t="s">
        <v>38</v>
      </c>
      <c r="C5" s="16" t="s">
        <v>39</v>
      </c>
      <c r="D5" s="16" t="s">
        <v>40</v>
      </c>
      <c r="E5" s="16" t="s">
        <v>41</v>
      </c>
    </row>
    <row r="6" spans="1:5" x14ac:dyDescent="0.2">
      <c r="A6" s="16" t="s">
        <v>42</v>
      </c>
      <c r="B6" s="16" t="s">
        <v>43</v>
      </c>
      <c r="C6" s="16" t="s">
        <v>44</v>
      </c>
      <c r="D6" s="16" t="s">
        <v>45</v>
      </c>
      <c r="E6" s="16" t="s">
        <v>46</v>
      </c>
    </row>
    <row r="7" spans="1:5" x14ac:dyDescent="0.2">
      <c r="A7" s="16" t="s">
        <v>47</v>
      </c>
      <c r="B7" s="16" t="s">
        <v>48</v>
      </c>
      <c r="C7" s="16" t="s">
        <v>49</v>
      </c>
      <c r="D7" s="16" t="s">
        <v>50</v>
      </c>
      <c r="E7" s="16" t="s">
        <v>51</v>
      </c>
    </row>
    <row r="8" spans="1:5" x14ac:dyDescent="0.2">
      <c r="A8" s="16" t="s">
        <v>52</v>
      </c>
      <c r="B8" s="16" t="s">
        <v>53</v>
      </c>
      <c r="C8" s="16" t="s">
        <v>54</v>
      </c>
      <c r="D8" s="16" t="s">
        <v>55</v>
      </c>
      <c r="E8" s="16" t="s">
        <v>56</v>
      </c>
    </row>
    <row r="9" spans="1:5" x14ac:dyDescent="0.2">
      <c r="A9" s="16" t="s">
        <v>57</v>
      </c>
      <c r="B9" s="16" t="s">
        <v>58</v>
      </c>
      <c r="C9" s="16" t="s">
        <v>59</v>
      </c>
      <c r="D9" s="16" t="s">
        <v>60</v>
      </c>
      <c r="E9" s="16" t="s">
        <v>61</v>
      </c>
    </row>
    <row r="10" spans="1:5" x14ac:dyDescent="0.2">
      <c r="A10" s="16" t="s">
        <v>62</v>
      </c>
      <c r="B10" s="16" t="s">
        <v>63</v>
      </c>
      <c r="C10" s="16" t="s">
        <v>64</v>
      </c>
      <c r="D10" s="16" t="s">
        <v>65</v>
      </c>
      <c r="E10" s="16" t="s">
        <v>66</v>
      </c>
    </row>
    <row r="11" spans="1:5" ht="28.5" x14ac:dyDescent="0.2">
      <c r="A11" s="16" t="s">
        <v>67</v>
      </c>
      <c r="B11" s="16" t="s">
        <v>68</v>
      </c>
      <c r="C11" s="16" t="s">
        <v>69</v>
      </c>
      <c r="D11" s="16" t="s">
        <v>70</v>
      </c>
      <c r="E11" s="16" t="s">
        <v>71</v>
      </c>
    </row>
    <row r="12" spans="1:5" ht="28.5" x14ac:dyDescent="0.2">
      <c r="A12" s="16" t="s">
        <v>72</v>
      </c>
      <c r="B12" s="16" t="s">
        <v>73</v>
      </c>
      <c r="C12" s="16" t="s">
        <v>74</v>
      </c>
      <c r="D12" s="16" t="s">
        <v>75</v>
      </c>
      <c r="E12" s="16" t="s">
        <v>76</v>
      </c>
    </row>
    <row r="13" spans="1:5" ht="28.5" x14ac:dyDescent="0.2">
      <c r="A13" s="16" t="s">
        <v>77</v>
      </c>
      <c r="B13" s="16" t="s">
        <v>78</v>
      </c>
      <c r="C13" s="16" t="s">
        <v>79</v>
      </c>
      <c r="D13" s="16" t="s">
        <v>80</v>
      </c>
      <c r="E13" s="16" t="s">
        <v>81</v>
      </c>
    </row>
    <row r="14" spans="1:5" ht="28.5" x14ac:dyDescent="0.2">
      <c r="A14" s="16" t="s">
        <v>82</v>
      </c>
      <c r="B14" s="16" t="s">
        <v>83</v>
      </c>
      <c r="C14" s="16" t="s">
        <v>84</v>
      </c>
      <c r="D14" s="16" t="s">
        <v>85</v>
      </c>
      <c r="E14" s="16" t="s">
        <v>86</v>
      </c>
    </row>
    <row r="15" spans="1:5" ht="28.5" x14ac:dyDescent="0.2">
      <c r="A15" s="16" t="s">
        <v>87</v>
      </c>
      <c r="B15" s="16" t="s">
        <v>88</v>
      </c>
      <c r="C15" s="16" t="s">
        <v>89</v>
      </c>
      <c r="D15" s="16" t="s">
        <v>90</v>
      </c>
      <c r="E15" s="16" t="s">
        <v>91</v>
      </c>
    </row>
    <row r="16" spans="1:5" ht="28.5" x14ac:dyDescent="0.2">
      <c r="A16" s="16" t="s">
        <v>92</v>
      </c>
      <c r="B16" s="16" t="s">
        <v>93</v>
      </c>
      <c r="C16" s="16" t="s">
        <v>94</v>
      </c>
      <c r="D16" s="16" t="s">
        <v>95</v>
      </c>
      <c r="E16" s="16" t="s">
        <v>96</v>
      </c>
    </row>
    <row r="17" spans="1:5" ht="28.5" x14ac:dyDescent="0.2">
      <c r="A17" s="16" t="s">
        <v>97</v>
      </c>
      <c r="B17" s="16" t="s">
        <v>98</v>
      </c>
      <c r="C17" s="16" t="s">
        <v>99</v>
      </c>
      <c r="D17" s="16" t="s">
        <v>100</v>
      </c>
      <c r="E17" s="16" t="s">
        <v>101</v>
      </c>
    </row>
    <row r="18" spans="1:5" ht="28.5" x14ac:dyDescent="0.2">
      <c r="A18" s="16" t="s">
        <v>102</v>
      </c>
      <c r="B18" s="16" t="s">
        <v>103</v>
      </c>
      <c r="C18" s="16" t="s">
        <v>104</v>
      </c>
      <c r="D18" s="16" t="s">
        <v>105</v>
      </c>
      <c r="E18" s="16" t="s">
        <v>106</v>
      </c>
    </row>
    <row r="19" spans="1:5" ht="28.5" x14ac:dyDescent="0.2">
      <c r="A19" s="16" t="s">
        <v>107</v>
      </c>
      <c r="B19" s="16" t="s">
        <v>108</v>
      </c>
      <c r="C19" s="16" t="s">
        <v>109</v>
      </c>
      <c r="D19" s="16" t="s">
        <v>110</v>
      </c>
      <c r="E19" s="16" t="s">
        <v>111</v>
      </c>
    </row>
    <row r="20" spans="1:5" ht="28.5" x14ac:dyDescent="0.2">
      <c r="A20" s="16" t="s">
        <v>112</v>
      </c>
      <c r="B20" s="16" t="s">
        <v>113</v>
      </c>
      <c r="C20" s="16" t="s">
        <v>114</v>
      </c>
      <c r="D20" s="16" t="s">
        <v>115</v>
      </c>
      <c r="E20" s="16" t="s">
        <v>116</v>
      </c>
    </row>
    <row r="21" spans="1:5" ht="28.5" x14ac:dyDescent="0.2">
      <c r="A21" s="16" t="s">
        <v>117</v>
      </c>
      <c r="B21" s="16" t="s">
        <v>118</v>
      </c>
      <c r="C21" s="16" t="s">
        <v>119</v>
      </c>
      <c r="D21" s="16" t="s">
        <v>120</v>
      </c>
      <c r="E21" s="16" t="s">
        <v>121</v>
      </c>
    </row>
    <row r="22" spans="1:5" ht="28.5" x14ac:dyDescent="0.2">
      <c r="A22" s="16" t="s">
        <v>122</v>
      </c>
      <c r="B22" s="16" t="s">
        <v>123</v>
      </c>
      <c r="C22" s="16" t="s">
        <v>124</v>
      </c>
      <c r="D22" s="16" t="s">
        <v>125</v>
      </c>
      <c r="E22" s="16" t="s">
        <v>126</v>
      </c>
    </row>
    <row r="23" spans="1:5" ht="28.5" x14ac:dyDescent="0.2">
      <c r="A23" s="16" t="s">
        <v>127</v>
      </c>
      <c r="B23" s="16" t="s">
        <v>128</v>
      </c>
      <c r="C23" s="16" t="s">
        <v>129</v>
      </c>
      <c r="D23" s="16" t="s">
        <v>130</v>
      </c>
      <c r="E23" s="16" t="s">
        <v>131</v>
      </c>
    </row>
    <row r="24" spans="1:5" ht="28.5" x14ac:dyDescent="0.2">
      <c r="A24" s="16" t="s">
        <v>132</v>
      </c>
      <c r="B24" s="16" t="s">
        <v>133</v>
      </c>
      <c r="C24" s="16" t="s">
        <v>134</v>
      </c>
      <c r="D24" s="16" t="s">
        <v>135</v>
      </c>
      <c r="E24" s="16" t="s">
        <v>136</v>
      </c>
    </row>
    <row r="25" spans="1:5" ht="28.5" x14ac:dyDescent="0.2">
      <c r="A25" s="16" t="s">
        <v>137</v>
      </c>
      <c r="B25" s="16" t="s">
        <v>138</v>
      </c>
      <c r="C25" s="16" t="s">
        <v>139</v>
      </c>
      <c r="D25" s="16" t="s">
        <v>140</v>
      </c>
      <c r="E25" s="16" t="s">
        <v>141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sqref="A1:C14"/>
    </sheetView>
  </sheetViews>
  <sheetFormatPr baseColWidth="10" defaultRowHeight="14.25" x14ac:dyDescent="0.2"/>
  <cols>
    <col min="2" max="2" width="15.875" customWidth="1"/>
    <col min="3" max="3" width="14" customWidth="1"/>
  </cols>
  <sheetData>
    <row r="1" spans="1:3" ht="28.5" x14ac:dyDescent="0.2">
      <c r="A1" t="s">
        <v>15</v>
      </c>
      <c r="B1" t="s">
        <v>142</v>
      </c>
      <c r="C1" t="s">
        <v>143</v>
      </c>
    </row>
    <row r="2" spans="1:3" x14ac:dyDescent="0.2">
      <c r="A2">
        <v>1001</v>
      </c>
      <c r="B2" t="s">
        <v>144</v>
      </c>
      <c r="C2">
        <v>277</v>
      </c>
    </row>
    <row r="3" spans="1:3" x14ac:dyDescent="0.2">
      <c r="A3" s="16">
        <v>1002</v>
      </c>
      <c r="B3" s="16" t="s">
        <v>145</v>
      </c>
      <c r="C3">
        <v>310</v>
      </c>
    </row>
    <row r="4" spans="1:3" x14ac:dyDescent="0.2">
      <c r="A4" s="16">
        <v>1003</v>
      </c>
      <c r="B4" s="16" t="s">
        <v>146</v>
      </c>
      <c r="C4">
        <v>476</v>
      </c>
    </row>
    <row r="5" spans="1:3" x14ac:dyDescent="0.2">
      <c r="A5" s="16">
        <v>1004</v>
      </c>
      <c r="B5" s="16" t="s">
        <v>147</v>
      </c>
      <c r="C5">
        <v>209</v>
      </c>
    </row>
    <row r="6" spans="1:3" x14ac:dyDescent="0.2">
      <c r="A6" s="16">
        <v>1005</v>
      </c>
      <c r="B6" s="16" t="s">
        <v>148</v>
      </c>
      <c r="C6">
        <v>169</v>
      </c>
    </row>
    <row r="7" spans="1:3" x14ac:dyDescent="0.2">
      <c r="A7" s="16">
        <v>1006</v>
      </c>
      <c r="B7" s="16" t="s">
        <v>149</v>
      </c>
      <c r="C7">
        <v>243</v>
      </c>
    </row>
    <row r="8" spans="1:3" x14ac:dyDescent="0.2">
      <c r="A8" s="16">
        <v>1007</v>
      </c>
      <c r="B8" s="16" t="s">
        <v>150</v>
      </c>
      <c r="C8">
        <v>267</v>
      </c>
    </row>
    <row r="9" spans="1:3" x14ac:dyDescent="0.2">
      <c r="A9" s="16">
        <v>1008</v>
      </c>
      <c r="B9" s="16" t="s">
        <v>151</v>
      </c>
      <c r="C9">
        <v>225</v>
      </c>
    </row>
    <row r="10" spans="1:3" x14ac:dyDescent="0.2">
      <c r="A10" s="16">
        <v>1009</v>
      </c>
      <c r="B10" s="16" t="s">
        <v>152</v>
      </c>
      <c r="C10">
        <v>304</v>
      </c>
    </row>
    <row r="11" spans="1:3" x14ac:dyDescent="0.2">
      <c r="A11" s="16">
        <v>1010</v>
      </c>
      <c r="B11" s="16" t="s">
        <v>153</v>
      </c>
      <c r="C11">
        <v>150</v>
      </c>
    </row>
    <row r="12" spans="1:3" x14ac:dyDescent="0.2">
      <c r="A12" s="16">
        <v>1011</v>
      </c>
      <c r="B12" s="16" t="s">
        <v>154</v>
      </c>
      <c r="C12">
        <v>481</v>
      </c>
    </row>
    <row r="13" spans="1:3" x14ac:dyDescent="0.2">
      <c r="A13" s="16">
        <v>1012</v>
      </c>
      <c r="B13" s="16" t="s">
        <v>155</v>
      </c>
      <c r="C13">
        <v>207</v>
      </c>
    </row>
    <row r="14" spans="1:3" x14ac:dyDescent="0.2">
      <c r="A14" s="16">
        <v>1013</v>
      </c>
      <c r="B14" s="16" t="s">
        <v>156</v>
      </c>
      <c r="C14">
        <v>361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Temas</vt:lpstr>
      <vt:lpstr>Factura simple</vt:lpstr>
      <vt:lpstr>Detalle de Facturas</vt:lpstr>
      <vt:lpstr>Clientes</vt:lpstr>
      <vt:lpstr>Productos</vt:lpstr>
      <vt:lpstr>ColumnTitleRegion1..B11.1</vt:lpstr>
      <vt:lpstr>Nombre_empresa</vt:lpstr>
      <vt:lpstr>TítuloColumna1</vt:lpstr>
      <vt:lpstr>TítuloFilaRegión1..D5</vt:lpstr>
      <vt:lpstr>'Factura simple'!Títulos_a_imprimir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2018-06-29T11:34:24Z</dcterms:created>
  <dcterms:modified xsi:type="dcterms:W3CDTF">2019-12-19T01:55:15Z</dcterms:modified>
</cp:coreProperties>
</file>